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a6b9c4e63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ce Summary" sheetId="1" r:id="R35d4fc7c55bd4a66"/>
    <x:sheet xmlns:r="http://schemas.openxmlformats.org/officeDocument/2006/relationships" name="Source" sheetId="2" r:id="Rbc786cccc665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-#,##0;-"/>
    <x:numFmt numFmtId="201" formatCode="0.00"/>
  </x:numFmts>
  <x:fonts count="6">
    <x:font>
      <x:sz val="11"/>
      <x:name val="Carlito"/>
    </x:font>
    <x:font>
      <x:b/>
      <x:sz val="12"/>
      <x:name val="Arial"/>
    </x:font>
    <x:font>
      <x:b/>
      <x:sz val="14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8CCE4"/>
      </x:patternFill>
    </x:fill>
    <x:fill>
      <x:patternFill patternType="solid">
        <x:fgColor rgb="FF8DB4E2"/>
      </x:patternFill>
    </x:fill>
    <x:fill>
      <x:patternFill patternType="solid">
        <x:fgColor rgb="FFD9EAF7"/>
      </x:patternFill>
    </x:fill>
    <x:fill>
      <x:patternFill patternType="solid">
        <x:fgColor rgb="FFFFF98A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0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3" fillId="0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/>
    <x:xf numFmtId="0" fontId="4" fillId="5" borderId="1" xfId="0" applyNumberFormat="1" applyFont="1" applyFill="1" applyBorder="1"/>
    <x:xf numFmtId="0" fontId="4" fillId="6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4" fillId="6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4" fillId="4" borderId="1" xfId="0" applyNumberFormat="1" applyFont="1" applyFill="1" applyBorder="1" applyAlignment="1">
      <x:alignment horizontal="right" vertical="center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0" fontId="4" fillId="5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right" vertical="center" wrapText="1"/>
    </x:xf>
    <x:xf numFmtId="0" fontId="3" fillId="6" borderId="1" xfId="0" applyNumberFormat="1" applyFont="1" applyFill="1" applyBorder="1" applyAlignment="1">
      <x:alignment horizontal="right" vertical="center" wrapText="1"/>
    </x:xf>
    <x:xf numFmtId="200" fontId="4" fillId="4" borderId="0" xfId="0" applyNumberFormat="1" applyFont="1" applyFill="1" applyBorder="1" applyAlignment="1">
      <x:alignment horizontal="right" vertical="center" wrapText="1"/>
    </x:xf>
    <x:xf numFmtId="200" fontId="3" fillId="4" borderId="0" xfId="0" applyNumberFormat="1" applyFont="1" applyFill="1" applyBorder="1" applyAlignment="1">
      <x:alignment horizontal="right" vertical="center" wrapText="1"/>
    </x:xf>
    <x:xf numFmtId="200" fontId="4" fillId="5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200" fontId="3" fillId="6" borderId="0" xfId="0" applyNumberFormat="1" applyFont="1" applyFill="1" applyBorder="1" applyAlignment="1">
      <x:alignment horizontal="right" vertical="center" wrapText="1"/>
    </x:xf>
    <x:xf numFmtId="200" fontId="4" fillId="4" borderId="1" xfId="0" applyNumberFormat="1" applyFont="1" applyFill="1" applyBorder="1" applyAlignment="1">
      <x:alignment horizontal="right" vertical="center" wrapText="1"/>
    </x:xf>
    <x:xf numFmtId="200" fontId="3" fillId="4" borderId="1" xfId="0" applyNumberFormat="1" applyFont="1" applyFill="1" applyBorder="1" applyAlignment="1">
      <x:alignment horizontal="right" vertical="center" wrapText="1"/>
    </x:xf>
    <x:xf numFmtId="200" fontId="4" fillId="5" borderId="1" xfId="0" applyNumberFormat="1" applyFont="1" applyFill="1" applyBorder="1" applyAlignment="1">
      <x:alignment horizontal="right" vertical="center" wrapText="1"/>
    </x:xf>
    <x:xf numFmtId="200" fontId="4" fillId="0" borderId="1" xfId="0" applyNumberFormat="1" applyFont="1" applyFill="1" applyBorder="1" applyAlignment="1">
      <x:alignment horizontal="right" vertical="center" wrapText="1"/>
    </x:xf>
    <x:xf numFmtId="200" fontId="3" fillId="0" borderId="1" xfId="0" applyNumberFormat="1" applyFont="1" applyFill="1" applyBorder="1" applyAlignment="1">
      <x:alignment horizontal="right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0" fontId="3" fillId="6" borderId="1" xfId="0" applyNumberFormat="1" applyFont="1" applyFill="1" applyBorder="1" applyAlignment="1">
      <x:alignment horizontal="right" vertical="center" wrapText="1"/>
    </x:xf>
    <x:xf numFmtId="201" fontId="3" fillId="0" borderId="0" xfId="0" applyNumberFormat="1" applyFont="1" applyFill="1" applyBorder="1" applyAlignment="1">
      <x:alignment horizontal="right" vertical="center" wrapText="1"/>
    </x:xf>
    <x:xf numFmtId="201" fontId="3" fillId="0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0" fontId="4" fillId="4" borderId="6" xfId="0" applyNumberFormat="1" applyFont="1" applyFill="1" applyBorder="1" applyAlignment="1">
      <x:alignment horizontal="right" vertical="center" wrapText="1"/>
    </x:xf>
    <x:xf numFmtId="200" fontId="3" fillId="4" borderId="6" xfId="0" applyNumberFormat="1" applyFont="1" applyFill="1" applyBorder="1" applyAlignment="1">
      <x:alignment horizontal="right"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200" fontId="4" fillId="5" borderId="6" xfId="0" applyNumberFormat="1" applyFont="1" applyFill="1" applyBorder="1" applyAlignment="1">
      <x:alignment horizontal="right"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horizontal="right" vertical="center" wrapText="1"/>
    </x:xf>
    <x:xf numFmtId="200" fontId="3" fillId="0" borderId="6" xfId="0" applyNumberFormat="1" applyFont="1" applyFill="1" applyBorder="1" applyAlignment="1">
      <x:alignment horizontal="right" vertical="center" wrapText="1"/>
    </x:xf>
    <x:xf numFmtId="200" fontId="4" fillId="0" borderId="6" xfId="0" applyNumberFormat="1" applyFont="1" applyFill="1" applyBorder="1" applyAlignment="1">
      <x:alignment horizontal="center" vertical="center" wrapText="1"/>
    </x:xf>
    <x:xf numFmtId="200" fontId="4" fillId="6" borderId="6" xfId="0" applyNumberFormat="1" applyFont="1" applyFill="1" applyBorder="1" applyAlignment="1">
      <x:alignment horizontal="center" vertical="center" wrapText="1"/>
    </x:xf>
    <x:xf numFmtId="200" fontId="3" fillId="6" borderId="6" xfId="0" applyNumberFormat="1" applyFont="1" applyFill="1" applyBorder="1" applyAlignment="1">
      <x:alignment horizontal="right"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horizontal="right" vertical="center" wrapText="1"/>
    </x:xf>
    <x:xf numFmtId="201" fontId="3" fillId="0" borderId="9" xfId="0" applyNumberFormat="1" applyFont="1" applyFill="1" applyBorder="1" applyAlignment="1">
      <x:alignment horizontal="right"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horizontal="left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horizontal="center" vertical="center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4" fillId="0" borderId="15" xfId="0" applyNumberFormat="1" applyFont="1" applyFill="1" applyBorder="1" applyAlignment="1">
      <x:alignment horizontal="right"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200" fontId="4" fillId="4" borderId="15" xfId="0" applyNumberFormat="1" applyFont="1" applyFill="1" applyBorder="1" applyAlignment="1">
      <x:alignment horizontal="right" vertical="center" wrapText="1"/>
    </x:xf>
    <x:xf numFmtId="200" fontId="3" fillId="4" borderId="15" xfId="0" applyNumberFormat="1" applyFont="1" applyFill="1" applyBorder="1" applyAlignment="1">
      <x:alignment horizontal="right" vertical="center" wrapText="1"/>
    </x:xf>
    <x:xf numFmtId="0" fontId="4" fillId="4" borderId="16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200" fontId="4" fillId="5" borderId="15" xfId="0" applyNumberFormat="1" applyFont="1" applyFill="1" applyBorder="1" applyAlignment="1">
      <x:alignment horizontal="right"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200" fontId="4" fillId="0" borderId="15" xfId="0" applyNumberFormat="1" applyFont="1" applyFill="1" applyBorder="1" applyAlignment="1">
      <x:alignment horizontal="right" vertical="center" wrapText="1"/>
    </x:xf>
    <x:xf numFmtId="200" fontId="3" fillId="0" borderId="15" xfId="0" applyNumberFormat="1" applyFont="1" applyFill="1" applyBorder="1" applyAlignment="1">
      <x:alignment horizontal="right" vertical="center" wrapText="1"/>
    </x:xf>
    <x:xf numFmtId="200" fontId="4" fillId="0" borderId="15" xfId="0" applyNumberFormat="1" applyFont="1" applyFill="1" applyBorder="1" applyAlignment="1">
      <x:alignment horizontal="center" vertical="center" wrapText="1"/>
    </x:xf>
    <x:xf numFmtId="200" fontId="4" fillId="6" borderId="15" xfId="0" applyNumberFormat="1" applyFont="1" applyFill="1" applyBorder="1" applyAlignment="1">
      <x:alignment horizontal="center" vertical="center" wrapText="1"/>
    </x:xf>
    <x:xf numFmtId="200" fontId="3" fillId="6" borderId="15" xfId="0" applyNumberFormat="1" applyFont="1" applyFill="1" applyBorder="1" applyAlignment="1">
      <x:alignment horizontal="right"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horizontal="right" vertical="center" wrapText="1"/>
    </x:xf>
    <x:xf numFmtId="201" fontId="3" fillId="0" borderId="18" xfId="0" applyNumberFormat="1" applyFont="1" applyFill="1" applyBorder="1" applyAlignment="1">
      <x:alignment horizontal="right"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200" fontId="4" fillId="4" borderId="21" xfId="0" applyNumberFormat="1" applyFont="1" applyFill="1" applyBorder="1" applyAlignment="1">
      <x:alignment horizontal="right" vertical="center" wrapText="1"/>
    </x:xf>
    <x:xf numFmtId="200" fontId="3" fillId="4" borderId="21" xfId="0" applyNumberFormat="1" applyFont="1" applyFill="1" applyBorder="1" applyAlignment="1">
      <x:alignment horizontal="right" vertical="center" wrapText="1"/>
    </x:xf>
    <x:xf numFmtId="0" fontId="4" fillId="4" borderId="22" xfId="0" applyNumberFormat="1" applyFont="1" applyFill="1" applyBorder="1" applyAlignment="1">
      <x:alignment vertical="center" wrapText="1"/>
    </x:xf>
    <x:xf numFmtId="0" fontId="3" fillId="4" borderId="23" xfId="0" applyNumberFormat="1" applyFont="1" applyFill="1" applyBorder="1" applyAlignment="1">
      <x:alignment vertical="center" wrapText="1"/>
    </x:xf>
    <x:xf numFmtId="200" fontId="4" fillId="4" borderId="24" xfId="0" applyNumberFormat="1" applyFont="1" applyFill="1" applyBorder="1" applyAlignment="1">
      <x:alignment horizontal="right" vertical="center" wrapText="1"/>
    </x:xf>
    <x:xf numFmtId="200" fontId="3" fillId="4" borderId="24" xfId="0" applyNumberFormat="1" applyFont="1" applyFill="1" applyBorder="1" applyAlignment="1">
      <x:alignment horizontal="right" vertical="center" wrapText="1"/>
    </x:xf>
    <x:xf numFmtId="0" fontId="4" fillId="4" borderId="25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200" fontId="4" fillId="0" borderId="21" xfId="0" applyNumberFormat="1" applyFont="1" applyFill="1" applyBorder="1" applyAlignment="1">
      <x:alignment horizontal="right" vertical="center" wrapText="1"/>
    </x:xf>
    <x:xf numFmtId="200" fontId="3" fillId="0" borderId="21" xfId="0" applyNumberFormat="1" applyFont="1" applyFill="1" applyBorder="1" applyAlignment="1">
      <x:alignment horizontal="right"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200" fontId="4" fillId="0" borderId="24" xfId="0" applyNumberFormat="1" applyFont="1" applyFill="1" applyBorder="1" applyAlignment="1">
      <x:alignment horizontal="right" vertical="center" wrapText="1"/>
    </x:xf>
    <x:xf numFmtId="200" fontId="3" fillId="0" borderId="24" xfId="0" applyNumberFormat="1" applyFont="1" applyFill="1" applyBorder="1" applyAlignment="1">
      <x:alignment horizontal="right"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200" fontId="4" fillId="0" borderId="21" xfId="0" applyNumberFormat="1" applyFont="1" applyFill="1" applyBorder="1" applyAlignment="1">
      <x:alignment horizontal="center" vertical="center" wrapText="1"/>
    </x:xf>
    <x:xf numFmtId="200" fontId="4" fillId="6" borderId="21" xfId="0" applyNumberFormat="1" applyFont="1" applyFill="1" applyBorder="1" applyAlignment="1">
      <x:alignment horizontal="center" vertical="center" wrapText="1"/>
    </x:xf>
    <x:xf numFmtId="200" fontId="3" fillId="6" borderId="21" xfId="0" applyNumberFormat="1" applyFont="1" applyFill="1" applyBorder="1" applyAlignment="1">
      <x:alignment horizontal="right" vertical="center" wrapText="1"/>
    </x:xf>
    <x:xf numFmtId="200" fontId="4" fillId="0" borderId="24" xfId="0" applyNumberFormat="1" applyFont="1" applyFill="1" applyBorder="1" applyAlignment="1">
      <x:alignment horizontal="center" vertical="center" wrapText="1"/>
    </x:xf>
    <x:xf numFmtId="200" fontId="4" fillId="6" borderId="24" xfId="0" applyNumberFormat="1" applyFont="1" applyFill="1" applyBorder="1" applyAlignment="1">
      <x:alignment horizontal="center" vertical="center" wrapText="1"/>
    </x:xf>
    <x:xf numFmtId="200" fontId="3" fillId="6" borderId="24" xfId="0" applyNumberFormat="1" applyFont="1" applyFill="1" applyBorder="1" applyAlignment="1">
      <x:alignment horizontal="right" vertical="center" wrapText="1"/>
    </x:xf>
    <x:xf numFmtId="0" fontId="4" fillId="0" borderId="21" xfId="0" applyNumberFormat="1" applyFont="1" applyFill="1" applyBorder="1" applyAlignment="1">
      <x:alignment horizontal="right" vertical="center" wrapText="1"/>
    </x:xf>
    <x:xf numFmtId="201" fontId="3" fillId="0" borderId="21" xfId="0" applyNumberFormat="1" applyFont="1" applyFill="1" applyBorder="1" applyAlignment="1">
      <x:alignment horizontal="right" vertical="center" wrapText="1"/>
    </x:xf>
    <x:xf numFmtId="0" fontId="4" fillId="0" borderId="24" xfId="0" applyNumberFormat="1" applyFont="1" applyFill="1" applyBorder="1" applyAlignment="1">
      <x:alignment horizontal="right" vertical="center" wrapText="1"/>
    </x:xf>
    <x:xf numFmtId="201" fontId="3" fillId="0" borderId="24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03f099fd84cc4" /><Relationship Type="http://schemas.openxmlformats.org/officeDocument/2006/relationships/theme" Target="/xl/theme/theme1.xml" Id="R46fd5fe15bdf4c5a" /><Relationship Type="http://schemas.openxmlformats.org/officeDocument/2006/relationships/sharedStrings" Target="/xl/sharedStrings.xml" Id="Rf99dff7135fe406b" /><Relationship Type="http://schemas.openxmlformats.org/officeDocument/2006/relationships/worksheet" Target="/xl/worksheets/sheet1.xml" Id="R35d4fc7c55bd4a66" /><Relationship Type="http://schemas.openxmlformats.org/officeDocument/2006/relationships/worksheet" Target="/xl/worksheets/sheet2.xml" Id="Rbc786cccc665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2" hidden="0" customWidth="1"/>
    <x:col min="4" max="4" width="15" hidden="0" customWidth="1"/>
    <x:col min="5" max="5" width="58" hidden="0" customWidth="1"/>
  </x:cols>
  <x:sheetData>
    <x:row r="1" ht="24" customHeight="1">
      <x:c r="A1" s="102" t="str">
        <x:v>Proposed Space Summary - Elementary School</x:v>
      </x:c>
      <x:c r="B1" s="73"/>
      <x:c r="C1" s="73"/>
      <x:c r="D1" s="73"/>
      <x:c r="E1" s="73"/>
    </x:row>
    <x:row r="2" ht="26" customHeight="1">
      <x:c r="A2" s="104" t="str">
        <x:v>UPDATED 8/28/2026</x:v>
      </x:c>
      <x:c r="B2" s="38" t="str">
        <x:v>Date:  [Enter Date]     [Enter Submittal]</x:v>
      </x:c>
      <x:c r="C2" s="73"/>
      <x:c r="D2" s="73"/>
      <x:c r="E2" s="73"/>
    </x:row>
    <x:row r="3" ht="24" customHeight="1">
      <x:c r="A3" s="126" t="str">
        <x:v>NEWTON PUBLIC SCHOOLS
UNDERWOOD ELEMENTARY SCHOOL</x:v>
      </x:c>
      <x:c r="B3" s="127" t="str">
        <x:v>MSBA GUIDELINES (DO NOT MODIFY)
(Refer to Educational Facility Planning for additional information)</x:v>
      </x:c>
      <x:c r="C3" s="128"/>
      <x:c r="D3" s="128"/>
      <x:c r="E3" s="129"/>
    </x:row>
    <x:row r="4" ht="24" customHeight="1">
      <x:c r="A4" s="130"/>
      <x:c r="B4" s="131"/>
      <x:c r="C4" s="131"/>
      <x:c r="D4" s="131"/>
      <x:c r="E4" s="132"/>
    </x:row>
    <x:row r="5" ht="36" customHeight="1">
      <x:c r="A5" s="133" t="str">
        <x:v>ROOM TYPE</x:v>
      </x:c>
      <x:c r="B5" s="134" t="str">
        <x:v>ROOM NFA¹</x:v>
      </x:c>
      <x:c r="C5" s="134" t="str">
        <x:v># OF ROOMS</x:v>
      </x:c>
      <x:c r="D5" s="134" t="str">
        <x:v>AREA TOTALS</x:v>
      </x:c>
      <x:c r="E5" s="135" t="str">
        <x:v>COMMENTS</x:v>
      </x:c>
    </x:row>
    <x:row r="6" ht="20" customHeight="1">
      <x:c r="A6" s="130"/>
      <x:c r="B6" s="136"/>
      <x:c r="C6" s="136"/>
      <x:c r="D6" s="136"/>
      <x:c r="E6" s="132"/>
    </x:row>
    <x:row r="7" ht="20" customHeight="1">
      <x:c r="A7" s="180" t="str">
        <x:v>CORE ACADEMIC</x:v>
      </x:c>
      <x:c r="B7" s="181"/>
      <x:c r="C7" s="181"/>
      <x:c r="D7" s="182" t="n">
        <x:f>SUM(D9:D10)</x:f>
        <x:v>14280</x:v>
      </x:c>
      <x:c r="E7" s="183" t="str">
        <x:v>STE Guidelines Policy</x:v>
      </x:c>
    </x:row>
    <x:row r="8" ht="18" customHeight="1">
      <x:c r="A8" s="141" t="str">
        <x:v>(List rooms of different sizes separately)</x:v>
      </x:c>
      <x:c r="B8" s="142"/>
      <x:c r="C8" s="142"/>
      <x:c r="D8" s="142"/>
      <x:c r="E8" s="143"/>
    </x:row>
    <x:row r="9" ht="42" customHeight="1">
      <x:c r="A9" s="130" t="str">
        <x:v>Kindergarten Classroom with Toilet</x:v>
      </x:c>
      <x:c r="B9" s="144" t="n">
        <x:v>1120</x:v>
      </x:c>
      <x:c r="C9" s="144" t="n">
        <x:v>3</x:v>
      </x:c>
      <x:c r="D9" s="144" t="n">
        <x:f>B9*C9</x:f>
        <x:v>3360</x:v>
      </x:c>
      <x:c r="E9" s="132" t="str">
        <x:v>1,100 NSF (minimum size) - 1,300 NSF (maximum size); Minimum of (2) sinks required per Kindergarten Classroom</x:v>
      </x:c>
    </x:row>
    <x:row r="10" ht="42" customHeight="1">
      <x:c r="A10" s="130" t="str">
        <x:v>General Classroom (Grades 1-6)</x:v>
      </x:c>
      <x:c r="B10" s="144" t="n">
        <x:v>910</x:v>
      </x:c>
      <x:c r="C10" s="144" t="n">
        <x:v>12</x:v>
      </x:c>
      <x:c r="D10" s="144" t="n">
        <x:f>B10*C10</x:f>
        <x:v>10920</x:v>
      </x:c>
      <x:c r="E10" s="132" t="str">
        <x:v>900 NSF (minimum size) - 1,000 NSF (maximum size); Minimum of (2) sinks required per General Classroom</x:v>
      </x:c>
    </x:row>
    <x:row r="11" ht="20" customHeight="1">
      <x:c r="A11" s="130"/>
      <x:c r="B11" s="144"/>
      <x:c r="C11" s="144"/>
      <x:c r="D11" s="144"/>
      <x:c r="E11" s="132"/>
    </x:row>
    <x:row r="12" ht="20" customHeight="1">
      <x:c r="A12" s="180" t="str">
        <x:v>SPECIAL EDUCATION</x:v>
      </x:c>
      <x:c r="B12" s="181"/>
      <x:c r="C12" s="181"/>
      <x:c r="D12" s="182" t="n">
        <x:f>SUM(D14:D17)</x:f>
        <x:v>5610</x:v>
      </x:c>
      <x:c r="E12" s="183" t="str">
        <x:v>Special Education spaces require DESE review and approval.</x:v>
      </x:c>
    </x:row>
    <x:row r="13" ht="18" customHeight="1">
      <x:c r="A13" s="141" t="str">
        <x:v>(List rooms of different sizes separately)</x:v>
      </x:c>
      <x:c r="B13" s="142"/>
      <x:c r="C13" s="142"/>
      <x:c r="D13" s="142"/>
      <x:c r="E13" s="143"/>
    </x:row>
    <x:row r="14" ht="42" customHeight="1">
      <x:c r="A14" s="130" t="str">
        <x:v>Self-Contained Special Education Classroom</x:v>
      </x:c>
      <x:c r="B14" s="144" t="n">
        <x:v>1150</x:v>
      </x:c>
      <x:c r="C14" s="144" t="n">
        <x:v>3</x:v>
      </x:c>
      <x:c r="D14" s="144" t="n">
        <x:f>B14*C14</x:f>
        <x:v>3450</x:v>
      </x:c>
      <x:c r="E14" s="132" t="str">
        <x:v>900 NSF (minimum size) - 1,300 NSF; equal to the size of the proposed General Classrooms that serve the same student population.</x:v>
      </x:c>
    </x:row>
    <x:row r="15" ht="20" customHeight="1">
      <x:c r="A15" s="130" t="str">
        <x:v>Self-Contained Special Education Toilet Room</x:v>
      </x:c>
      <x:c r="B15" s="144" t="n">
        <x:v>70</x:v>
      </x:c>
      <x:c r="C15" s="144" t="n">
        <x:v>3</x:v>
      </x:c>
      <x:c r="D15" s="144" t="n">
        <x:f>B15*C15</x:f>
        <x:v>210</x:v>
      </x:c>
      <x:c r="E15" s="132" t="str"/>
    </x:row>
    <x:row r="16" ht="20" customHeight="1">
      <x:c r="A16" s="130" t="str">
        <x:v>Resource Room</x:v>
      </x:c>
      <x:c r="B16" s="144" t="n">
        <x:v>650</x:v>
      </x:c>
      <x:c r="C16" s="144" t="n">
        <x:v>2</x:v>
      </x:c>
      <x:c r="D16" s="144" t="n">
        <x:f>B16*C16</x:f>
        <x:v>1300</x:v>
      </x:c>
      <x:c r="E16" s="132" t="str">
        <x:v>1/2 size of a General Classroom</x:v>
      </x:c>
    </x:row>
    <x:row r="17" ht="20" customHeight="1">
      <x:c r="A17" s="130" t="str">
        <x:v>Small Group Room</x:v>
      </x:c>
      <x:c r="B17" s="144" t="n">
        <x:v>650</x:v>
      </x:c>
      <x:c r="C17" s="144" t="n">
        <x:v>1</x:v>
      </x:c>
      <x:c r="D17" s="144" t="n">
        <x:f>B17*C17</x:f>
        <x:v>650</x:v>
      </x:c>
      <x:c r="E17" s="132" t="str">
        <x:v>1/2 size of a General Classroom</x:v>
      </x:c>
    </x:row>
    <x:row r="18" ht="20" customHeight="1">
      <x:c r="A18" s="130"/>
      <x:c r="B18" s="144"/>
      <x:c r="C18" s="144"/>
      <x:c r="D18" s="144"/>
      <x:c r="E18" s="132"/>
    </x:row>
    <x:row r="19" ht="20" customHeight="1">
      <x:c r="A19" s="180" t="str">
        <x:v>ART &amp; MUSIC</x:v>
      </x:c>
      <x:c r="B19" s="181"/>
      <x:c r="C19" s="181"/>
      <x:c r="D19" s="182" t="n">
        <x:f>SUM(D20:D23)</x:f>
        <x:v>3040</x:v>
      </x:c>
      <x:c r="E19" s="183" t="str"/>
    </x:row>
    <x:row r="20" ht="20" customHeight="1">
      <x:c r="A20" s="130" t="str">
        <x:v>Art Classroom (25 seats)</x:v>
      </x:c>
      <x:c r="B20" s="144" t="n">
        <x:v>1200</x:v>
      </x:c>
      <x:c r="C20" s="144" t="n">
        <x:v>1</x:v>
      </x:c>
      <x:c r="D20" s="144" t="n">
        <x:f>B20*C20</x:f>
        <x:v>1200</x:v>
      </x:c>
      <x:c r="E20" s="132" t="str">
        <x:v>Assumed schedule: 2 times per week per student</x:v>
      </x:c>
    </x:row>
    <x:row r="21" ht="20" customHeight="1">
      <x:c r="A21" s="130" t="str">
        <x:v>Art Workroom with Storage and Kiln</x:v>
      </x:c>
      <x:c r="B21" s="144" t="n">
        <x:v>200</x:v>
      </x:c>
      <x:c r="C21" s="144" t="n">
        <x:v>1</x:v>
      </x:c>
      <x:c r="D21" s="144" t="n">
        <x:f>B21*C21</x:f>
        <x:v>200</x:v>
      </x:c>
      <x:c r="E21" s="132" t="str"/>
    </x:row>
    <x:row r="22" ht="20" customHeight="1">
      <x:c r="A22" s="130" t="str">
        <x:v>Music Classroom / Large Group (25-50 seats)</x:v>
      </x:c>
      <x:c r="B22" s="144" t="n">
        <x:v>1400</x:v>
      </x:c>
      <x:c r="C22" s="144" t="n">
        <x:v>1</x:v>
      </x:c>
      <x:c r="D22" s="144" t="n">
        <x:f>B22*C22</x:f>
        <x:v>1400</x:v>
      </x:c>
      <x:c r="E22" s="132" t="str">
        <x:v>Assumed schedule: 2 times per week per student</x:v>
      </x:c>
    </x:row>
    <x:row r="23" ht="20" customHeight="1">
      <x:c r="A23" s="130" t="str">
        <x:v>Music Practice / Ensemble</x:v>
      </x:c>
      <x:c r="B23" s="144" t="n">
        <x:v>120</x:v>
      </x:c>
      <x:c r="C23" s="144" t="n">
        <x:v>2</x:v>
      </x:c>
      <x:c r="D23" s="144" t="n">
        <x:f>B23*C23</x:f>
        <x:v>240</x:v>
      </x:c>
      <x:c r="E23" s="132" t="str"/>
    </x:row>
    <x:row r="24" ht="20" customHeight="1">
      <x:c r="A24" s="130"/>
      <x:c r="B24" s="144"/>
      <x:c r="C24" s="144"/>
      <x:c r="D24" s="144"/>
      <x:c r="E24" s="132"/>
    </x:row>
    <x:row r="25" ht="20" customHeight="1">
      <x:c r="A25" s="180" t="str">
        <x:v>HEALTH &amp; PHYSICAL EDUCATION</x:v>
      </x:c>
      <x:c r="B25" s="181"/>
      <x:c r="C25" s="181"/>
      <x:c r="D25" s="182" t="n">
        <x:f>SUM(D26:D28)</x:f>
        <x:v>6950</x:v>
      </x:c>
      <x:c r="E25" s="183" t="str">
        <x:v>Excess Physical Education Spaces Policy</x:v>
      </x:c>
    </x:row>
    <x:row r="26" ht="20" customHeight="1">
      <x:c r="A26" s="130" t="str">
        <x:v>Gymnasium</x:v>
      </x:c>
      <x:c r="B26" s="144" t="n">
        <x:v>6500</x:v>
      </x:c>
      <x:c r="C26" s="144" t="n">
        <x:v>1</x:v>
      </x:c>
      <x:c r="D26" s="144" t="n">
        <x:f>B26*C26</x:f>
        <x:v>6500</x:v>
      </x:c>
      <x:c r="E26" s="132" t="str"/>
    </x:row>
    <x:row r="27" ht="20" customHeight="1">
      <x:c r="A27" s="130" t="str">
        <x:v>Gym Storeroom</x:v>
      </x:c>
      <x:c r="B27" s="144" t="n">
        <x:v>250</x:v>
      </x:c>
      <x:c r="C27" s="144" t="n">
        <x:v>1</x:v>
      </x:c>
      <x:c r="D27" s="144" t="n">
        <x:f>B27*C27</x:f>
        <x:v>250</x:v>
      </x:c>
      <x:c r="E27" s="132" t="str"/>
    </x:row>
    <x:row r="28" ht="20" customHeight="1">
      <x:c r="A28" s="130" t="str">
        <x:v>Health Instructor's Office with Shower and Toilet</x:v>
      </x:c>
      <x:c r="B28" s="144" t="n">
        <x:v>200</x:v>
      </x:c>
      <x:c r="C28" s="144" t="n">
        <x:v>1</x:v>
      </x:c>
      <x:c r="D28" s="144" t="n">
        <x:f>B28*C28</x:f>
        <x:v>200</x:v>
      </x:c>
      <x:c r="E28" s="132" t="str"/>
    </x:row>
    <x:row r="29" ht="20" customHeight="1">
      <x:c r="A29" s="130"/>
      <x:c r="B29" s="144"/>
      <x:c r="C29" s="144"/>
      <x:c r="D29" s="144"/>
      <x:c r="E29" s="132"/>
    </x:row>
    <x:row r="30" ht="20" customHeight="1">
      <x:c r="A30" s="180" t="str">
        <x:v>MEDIA CENTER</x:v>
      </x:c>
      <x:c r="B30" s="181"/>
      <x:c r="C30" s="181"/>
      <x:c r="D30" s="182" t="n">
        <x:f>SUM(D31:D31)</x:f>
        <x:v>2800</x:v>
      </x:c>
      <x:c r="E30" s="183" t="str"/>
    </x:row>
    <x:row r="31" ht="20" customHeight="1">
      <x:c r="A31" s="130" t="str">
        <x:v>Media Center / Reading Room</x:v>
      </x:c>
      <x:c r="B31" s="144" t="n">
        <x:v>2800</x:v>
      </x:c>
      <x:c r="C31" s="144" t="n">
        <x:v>1</x:v>
      </x:c>
      <x:c r="D31" s="144" t="n">
        <x:f>B31*C31</x:f>
        <x:v>2800</x:v>
      </x:c>
      <x:c r="E31" s="132" t="str"/>
    </x:row>
    <x:row r="32" ht="20" customHeight="1">
      <x:c r="A32" s="130"/>
      <x:c r="B32" s="144"/>
      <x:c r="C32" s="144"/>
      <x:c r="D32" s="144"/>
      <x:c r="E32" s="132"/>
    </x:row>
    <x:row r="33" ht="20" customHeight="1">
      <x:c r="A33" s="180" t="str">
        <x:v>DINING &amp; FOOD SERVICE</x:v>
      </x:c>
      <x:c r="B33" s="181"/>
      <x:c r="C33" s="181"/>
      <x:c r="D33" s="182" t="n">
        <x:f>SUM(D34:D38)</x:f>
        <x:v>6150</x:v>
      </x:c>
      <x:c r="E33" s="183" t="str"/>
    </x:row>
    <x:row r="34" ht="20" customHeight="1">
      <x:c r="A34" s="130" t="str">
        <x:v>Cafeteria / Dining</x:v>
      </x:c>
      <x:c r="B34" s="144" t="n">
        <x:v>2800</x:v>
      </x:c>
      <x:c r="C34" s="144" t="n">
        <x:v>1</x:v>
      </x:c>
      <x:c r="D34" s="144" t="n">
        <x:f>B34*C34</x:f>
        <x:v>2800</x:v>
      </x:c>
      <x:c r="E34" s="132" t="str">
        <x:v>Based on 2 lunch seatings - 15 NSF per seat</x:v>
      </x:c>
    </x:row>
    <x:row r="35" ht="20" customHeight="1">
      <x:c r="A35" s="130" t="str">
        <x:v>Stage</x:v>
      </x:c>
      <x:c r="B35" s="144" t="n">
        <x:v>900</x:v>
      </x:c>
      <x:c r="C35" s="144" t="n">
        <x:v>1</x:v>
      </x:c>
      <x:c r="D35" s="144" t="n">
        <x:f>B35*C35</x:f>
        <x:v>900</x:v>
      </x:c>
      <x:c r="E35" s="132" t="str"/>
    </x:row>
    <x:row r="36" ht="20" customHeight="1">
      <x:c r="A36" s="130" t="str">
        <x:v>Chair / Table / Equipment Storage</x:v>
      </x:c>
      <x:c r="B36" s="144" t="n">
        <x:v>400</x:v>
      </x:c>
      <x:c r="C36" s="144" t="n">
        <x:v>1</x:v>
      </x:c>
      <x:c r="D36" s="144" t="n">
        <x:f>B36*C36</x:f>
        <x:v>400</x:v>
      </x:c>
      <x:c r="E36" s="132" t="str"/>
    </x:row>
    <x:row r="37" ht="42" customHeight="1">
      <x:c r="A37" s="130" t="str">
        <x:v>Kitchen</x:v>
      </x:c>
      <x:c r="B37" s="144" t="n">
        <x:v>1800</x:v>
      </x:c>
      <x:c r="C37" s="144" t="n">
        <x:v>1</x:v>
      </x:c>
      <x:c r="D37" s="144" t="n">
        <x:f>B37*C37</x:f>
        <x:v>1800</x:v>
      </x:c>
      <x:c r="E37" s="132" t="str">
        <x:v>1,600 NSF for first 300 students + 1 NSF per additional student</x:v>
      </x:c>
    </x:row>
    <x:row r="38" ht="20" customHeight="1">
      <x:c r="A38" s="130" t="str">
        <x:v>Staff Lunch Room</x:v>
      </x:c>
      <x:c r="B38" s="144" t="n">
        <x:v>250</x:v>
      </x:c>
      <x:c r="C38" s="144" t="n">
        <x:v>1</x:v>
      </x:c>
      <x:c r="D38" s="144" t="n">
        <x:f>B38*C38</x:f>
        <x:v>250</x:v>
      </x:c>
      <x:c r="E38" s="132" t="str">
        <x:v>20 NSF per student</x:v>
      </x:c>
    </x:row>
    <x:row r="39" ht="20" customHeight="1">
      <x:c r="A39" s="130"/>
      <x:c r="B39" s="144"/>
      <x:c r="C39" s="144"/>
      <x:c r="D39" s="144"/>
      <x:c r="E39" s="132"/>
    </x:row>
    <x:row r="40" ht="20" customHeight="1">
      <x:c r="A40" s="180" t="str">
        <x:v>MEDICAL</x:v>
      </x:c>
      <x:c r="B40" s="181"/>
      <x:c r="C40" s="181"/>
      <x:c r="D40" s="182" t="n">
        <x:f>SUM(D41:D43)</x:f>
        <x:v>730</x:v>
      </x:c>
      <x:c r="E40" s="183" t="str"/>
    </x:row>
    <x:row r="41" ht="20" customHeight="1">
      <x:c r="A41" s="130" t="str">
        <x:v>Medical Suite Toilet</x:v>
      </x:c>
      <x:c r="B41" s="144" t="n">
        <x:v>80</x:v>
      </x:c>
      <x:c r="C41" s="144" t="n">
        <x:v>1</x:v>
      </x:c>
      <x:c r="D41" s="144" t="n">
        <x:f>B41*C41</x:f>
        <x:v>80</x:v>
      </x:c>
      <x:c r="E41" s="132" t="str"/>
    </x:row>
    <x:row r="42" ht="20" customHeight="1">
      <x:c r="A42" s="130" t="str">
        <x:v>Nurses' Office / Waiting Room</x:v>
      </x:c>
      <x:c r="B42" s="144" t="n">
        <x:v>350</x:v>
      </x:c>
      <x:c r="C42" s="144" t="n">
        <x:v>1</x:v>
      </x:c>
      <x:c r="D42" s="144" t="n">
        <x:f>B42*C42</x:f>
        <x:v>350</x:v>
      </x:c>
      <x:c r="E42" s="132" t="str"/>
    </x:row>
    <x:row r="43" ht="20" customHeight="1">
      <x:c r="A43" s="130" t="str">
        <x:v>Examination Room / Resting</x:v>
      </x:c>
      <x:c r="B43" s="144" t="n">
        <x:v>150</x:v>
      </x:c>
      <x:c r="C43" s="144" t="n">
        <x:v>2</x:v>
      </x:c>
      <x:c r="D43" s="144" t="n">
        <x:f>B43*C43</x:f>
        <x:v>300</x:v>
      </x:c>
      <x:c r="E43" s="132" t="str"/>
    </x:row>
    <x:row r="44" ht="20" customHeight="1">
      <x:c r="A44" s="130"/>
      <x:c r="B44" s="144"/>
      <x:c r="C44" s="144"/>
      <x:c r="D44" s="144"/>
      <x:c r="E44" s="132"/>
    </x:row>
    <x:row r="45" ht="20" customHeight="1">
      <x:c r="A45" s="180" t="str">
        <x:v>ADMINISTRATION &amp; GUIDANCE</x:v>
      </x:c>
      <x:c r="B45" s="181"/>
      <x:c r="C45" s="181"/>
      <x:c r="D45" s="182" t="n">
        <x:f>SUM(D46:D57)</x:f>
        <x:v>2510</x:v>
      </x:c>
      <x:c r="E45" s="183" t="str"/>
    </x:row>
    <x:row r="46" ht="20" customHeight="1">
      <x:c r="A46" s="130" t="str">
        <x:v>General Office / Waiting Room with Toilet</x:v>
      </x:c>
      <x:c r="B46" s="144" t="n">
        <x:v>400</x:v>
      </x:c>
      <x:c r="C46" s="144" t="n">
        <x:v>1</x:v>
      </x:c>
      <x:c r="D46" s="144" t="n">
        <x:f>B46*C46</x:f>
        <x:v>400</x:v>
      </x:c>
      <x:c r="E46" s="132" t="str"/>
    </x:row>
    <x:row r="47" ht="20" customHeight="1">
      <x:c r="A47" s="130" t="str">
        <x:v>Teachers' Mail and Time Room</x:v>
      </x:c>
      <x:c r="B47" s="144" t="n">
        <x:v>140</x:v>
      </x:c>
      <x:c r="C47" s="144" t="n">
        <x:v>1</x:v>
      </x:c>
      <x:c r="D47" s="144" t="n">
        <x:f>B47*C47</x:f>
        <x:v>140</x:v>
      </x:c>
      <x:c r="E47" s="132" t="str"/>
    </x:row>
    <x:row r="48" ht="20" customHeight="1">
      <x:c r="A48" s="130" t="str">
        <x:v>Copy Room</x:v>
      </x:c>
      <x:c r="B48" s="144" t="n">
        <x:v>180</x:v>
      </x:c>
      <x:c r="C48" s="144" t="n">
        <x:v>1</x:v>
      </x:c>
      <x:c r="D48" s="144" t="n">
        <x:f>B48*C48</x:f>
        <x:v>180</x:v>
      </x:c>
      <x:c r="E48" s="132" t="str"/>
    </x:row>
    <x:row r="49" ht="20" customHeight="1">
      <x:c r="A49" s="130" t="str">
        <x:v>Records Room</x:v>
      </x:c>
      <x:c r="B49" s="144" t="n">
        <x:v>140</x:v>
      </x:c>
      <x:c r="C49" s="144" t="n">
        <x:v>1</x:v>
      </x:c>
      <x:c r="D49" s="144" t="n">
        <x:f>B49*C49</x:f>
        <x:v>140</x:v>
      </x:c>
      <x:c r="E49" s="132" t="str"/>
    </x:row>
    <x:row r="50" ht="20" customHeight="1">
      <x:c r="A50" s="130" t="str">
        <x:v>Principal's Office with Conference Area</x:v>
      </x:c>
      <x:c r="B50" s="144" t="n">
        <x:v>420</x:v>
      </x:c>
      <x:c r="C50" s="144" t="n">
        <x:v>1</x:v>
      </x:c>
      <x:c r="D50" s="144" t="n">
        <x:f>B50*C50</x:f>
        <x:v>420</x:v>
      </x:c>
      <x:c r="E50" s="132" t="str"/>
    </x:row>
    <x:row r="51" ht="20" customHeight="1">
      <x:c r="A51" s="130" t="str">
        <x:v>Principal's Secretary / Waiting</x:v>
      </x:c>
      <x:c r="B51" s="144" t="n">
        <x:v>150</x:v>
      </x:c>
      <x:c r="C51" s="144" t="n">
        <x:v>1</x:v>
      </x:c>
      <x:c r="D51" s="144" t="n">
        <x:f>B51*C51</x:f>
        <x:v>150</x:v>
      </x:c>
      <x:c r="E51" s="132" t="str"/>
    </x:row>
    <x:row r="52" ht="20" customHeight="1">
      <x:c r="A52" s="130" t="str">
        <x:v>Assistant Principal's Office</x:v>
      </x:c>
      <x:c r="B52" s="144" t="n">
        <x:v>120</x:v>
      </x:c>
      <x:c r="C52" s="144" t="n">
        <x:v>0</x:v>
      </x:c>
      <x:c r="D52" s="144" t="n">
        <x:f>B52*C52</x:f>
        <x:v>0</x:v>
      </x:c>
      <x:c r="E52" s="132" t="str"/>
    </x:row>
    <x:row r="53" ht="20" customHeight="1">
      <x:c r="A53" s="130" t="str">
        <x:v>Supervisory / Spare Office</x:v>
      </x:c>
      <x:c r="B53" s="144" t="n">
        <x:v>150</x:v>
      </x:c>
      <x:c r="C53" s="144" t="n">
        <x:v>1</x:v>
      </x:c>
      <x:c r="D53" s="144" t="n">
        <x:f>B53*C53</x:f>
        <x:v>150</x:v>
      </x:c>
      <x:c r="E53" s="132" t="str"/>
    </x:row>
    <x:row r="54" ht="20" customHeight="1">
      <x:c r="A54" s="130" t="str">
        <x:v>Conference Room</x:v>
      </x:c>
      <x:c r="B54" s="144" t="n">
        <x:v>300</x:v>
      </x:c>
      <x:c r="C54" s="144" t="n">
        <x:v>1</x:v>
      </x:c>
      <x:c r="D54" s="144" t="n">
        <x:f>B54*C54</x:f>
        <x:v>300</x:v>
      </x:c>
      <x:c r="E54" s="132" t="str"/>
    </x:row>
    <x:row r="55" ht="20" customHeight="1">
      <x:c r="A55" s="130" t="str">
        <x:v>Guidance Office</x:v>
      </x:c>
      <x:c r="B55" s="144" t="n">
        <x:v>180</x:v>
      </x:c>
      <x:c r="C55" s="144" t="n">
        <x:v>1</x:v>
      </x:c>
      <x:c r="D55" s="144" t="n">
        <x:f>B55*C55</x:f>
        <x:v>180</x:v>
      </x:c>
      <x:c r="E55" s="132" t="str"/>
    </x:row>
    <x:row r="56" ht="20" customHeight="1">
      <x:c r="A56" s="130" t="str">
        <x:v>Guidance Storeroom</x:v>
      </x:c>
      <x:c r="B56" s="144" t="n">
        <x:v>50</x:v>
      </x:c>
      <x:c r="C56" s="144" t="n">
        <x:v>1</x:v>
      </x:c>
      <x:c r="D56" s="144" t="n">
        <x:f>B56*C56</x:f>
        <x:v>50</x:v>
      </x:c>
      <x:c r="E56" s="132" t="str"/>
    </x:row>
    <x:row r="57" ht="20" customHeight="1">
      <x:c r="A57" s="130" t="str">
        <x:v>Teachers' Work Room</x:v>
      </x:c>
      <x:c r="B57" s="144" t="n">
        <x:v>400</x:v>
      </x:c>
      <x:c r="C57" s="144" t="n">
        <x:v>1</x:v>
      </x:c>
      <x:c r="D57" s="144" t="n">
        <x:f>B57*C57</x:f>
        <x:v>400</x:v>
      </x:c>
      <x:c r="E57" s="132" t="str"/>
    </x:row>
    <x:row r="58" ht="20" customHeight="1">
      <x:c r="A58" s="130"/>
      <x:c r="B58" s="144"/>
      <x:c r="C58" s="144"/>
      <x:c r="D58" s="144"/>
      <x:c r="E58" s="132"/>
    </x:row>
    <x:row r="59" ht="20" customHeight="1">
      <x:c r="A59" s="180" t="str">
        <x:v>CUSTODIAL &amp; MAINTENANCE</x:v>
      </x:c>
      <x:c r="B59" s="181"/>
      <x:c r="C59" s="181"/>
      <x:c r="D59" s="182" t="n">
        <x:f>SUM(D60:D66)</x:f>
        <x:v>2200</x:v>
      </x:c>
      <x:c r="E59" s="183" t="str"/>
    </x:row>
    <x:row r="60" ht="20" customHeight="1">
      <x:c r="A60" s="130" t="str">
        <x:v>Custodian's Office</x:v>
      </x:c>
      <x:c r="B60" s="144" t="n">
        <x:v>180</x:v>
      </x:c>
      <x:c r="C60" s="144" t="n">
        <x:v>1</x:v>
      </x:c>
      <x:c r="D60" s="144" t="n">
        <x:f>B60*C60</x:f>
        <x:v>180</x:v>
      </x:c>
      <x:c r="E60" s="132" t="str"/>
    </x:row>
    <x:row r="61" ht="20" customHeight="1">
      <x:c r="A61" s="130" t="str">
        <x:v>Custodian's Workshop</x:v>
      </x:c>
      <x:c r="B61" s="144" t="n">
        <x:v>420</x:v>
      </x:c>
      <x:c r="C61" s="144" t="n">
        <x:v>1</x:v>
      </x:c>
      <x:c r="D61" s="144" t="n">
        <x:f>B61*C61</x:f>
        <x:v>420</x:v>
      </x:c>
      <x:c r="E61" s="132" t="str"/>
    </x:row>
    <x:row r="62" ht="20" customHeight="1">
      <x:c r="A62" s="130" t="str">
        <x:v>Custodian's Storage</x:v>
      </x:c>
      <x:c r="B62" s="144" t="n">
        <x:v>420</x:v>
      </x:c>
      <x:c r="C62" s="144" t="n">
        <x:v>1</x:v>
      </x:c>
      <x:c r="D62" s="144" t="n">
        <x:f>B62*C62</x:f>
        <x:v>420</x:v>
      </x:c>
      <x:c r="E62" s="132" t="str"/>
    </x:row>
    <x:row r="63" ht="20" customHeight="1">
      <x:c r="A63" s="130" t="str">
        <x:v>Recycling Room / Trash</x:v>
      </x:c>
      <x:c r="B63" s="144" t="n">
        <x:v>450</x:v>
      </x:c>
      <x:c r="C63" s="144" t="n">
        <x:v>1</x:v>
      </x:c>
      <x:c r="D63" s="144" t="n">
        <x:f>B63*C63</x:f>
        <x:v>450</x:v>
      </x:c>
      <x:c r="E63" s="132" t="str"/>
    </x:row>
    <x:row r="64" ht="20" customHeight="1">
      <x:c r="A64" s="130" t="str">
        <x:v>Receiving and General Supply</x:v>
      </x:c>
      <x:c r="B64" s="144" t="n">
        <x:v>240</x:v>
      </x:c>
      <x:c r="C64" s="144" t="n">
        <x:v>1</x:v>
      </x:c>
      <x:c r="D64" s="144" t="n">
        <x:f>B64*C64</x:f>
        <x:v>240</x:v>
      </x:c>
      <x:c r="E64" s="132" t="str"/>
    </x:row>
    <x:row r="65" ht="20" customHeight="1">
      <x:c r="A65" s="130" t="str">
        <x:v>Storeroom</x:v>
      </x:c>
      <x:c r="B65" s="144" t="n">
        <x:v>240</x:v>
      </x:c>
      <x:c r="C65" s="144" t="n">
        <x:v>1</x:v>
      </x:c>
      <x:c r="D65" s="144" t="n">
        <x:f>B65*C65</x:f>
        <x:v>240</x:v>
      </x:c>
      <x:c r="E65" s="132" t="str"/>
    </x:row>
    <x:row r="66" ht="20" customHeight="1">
      <x:c r="A66" s="130" t="str">
        <x:v>Network / Telecom Room</x:v>
      </x:c>
      <x:c r="B66" s="144" t="n">
        <x:v>250</x:v>
      </x:c>
      <x:c r="C66" s="144" t="n">
        <x:v>1</x:v>
      </x:c>
      <x:c r="D66" s="144" t="n">
        <x:f>B66*C66</x:f>
        <x:v>250</x:v>
      </x:c>
      <x:c r="E66" s="132" t="str"/>
    </x:row>
    <x:row r="67" ht="20" customHeight="1">
      <x:c r="A67" s="130"/>
      <x:c r="B67" s="144"/>
      <x:c r="C67" s="144"/>
      <x:c r="D67" s="144"/>
      <x:c r="E67" s="132"/>
    </x:row>
    <x:row r="68" ht="20" customHeight="1">
      <x:c r="A68" s="130"/>
      <x:c r="B68" s="144"/>
      <x:c r="C68" s="144"/>
      <x:c r="D68" s="144"/>
      <x:c r="E68" s="132"/>
    </x:row>
    <x:row r="69" ht="20" customHeight="1">
      <x:c r="A69" s="188" t="str">
        <x:v>Total Building Net Floor Area (NFA)</x:v>
      </x:c>
      <x:c r="B69" s="189"/>
      <x:c r="C69" s="189"/>
      <x:c r="D69" s="190" t="n">
        <x:f>D7+D12+D19+D25+D30+D33+D40+D45+D59</x:f>
        <x:v>44270</x:v>
      </x:c>
      <x:c r="E69" s="191" t="str">
        <x:v>Total Building Net Floor Area (NFA)</x:v>
      </x:c>
    </x:row>
    <x:row r="70" ht="20" customHeight="1">
      <x:c r="A70" s="130"/>
      <x:c r="B70" s="144"/>
      <x:c r="C70" s="144"/>
      <x:c r="D70" s="144"/>
      <x:c r="E70" s="132"/>
    </x:row>
    <x:row r="71" ht="20" customHeight="1">
      <x:c r="A71" s="188" t="str">
        <x:v>Proposed Student Capacity / Enrollment</x:v>
      </x:c>
      <x:c r="B71" s="196" t="str">
        <x:v># of Grades</x:v>
      </x:c>
      <x:c r="C71" s="197" t="n">
        <x:v>6</x:v>
      </x:c>
      <x:c r="D71" s="198" t="n">
        <x:v>322</x:v>
      </x:c>
      <x:c r="E71" s="191" t="str">
        <x:v>Total Enrollment (Enter Design Enrollment)</x:v>
      </x:c>
    </x:row>
    <x:row r="72" ht="20" customHeight="1">
      <x:c r="A72" s="130"/>
      <x:c r="B72" s="146" t="str">
        <x:v>K</x:v>
      </x:c>
      <x:c r="C72" s="147" t="n">
        <x:v>1</x:v>
      </x:c>
      <x:c r="D72" s="144" t="n">
        <x:v>54</x:v>
      </x:c>
      <x:c r="E72" s="132" t="str">
        <x:v>Kindergarten Enrollment</x:v>
      </x:c>
    </x:row>
    <x:row r="73" ht="20" customHeight="1">
      <x:c r="A73" s="130"/>
      <x:c r="B73" s="146" t="str">
        <x:v>Grade 1</x:v>
      </x:c>
      <x:c r="C73" s="147" t="n">
        <x:v>1</x:v>
      </x:c>
      <x:c r="D73" s="144" t="n">
        <x:v>107</x:v>
      </x:c>
      <x:c r="E73" s="132" t="str">
        <x:v>Lower Elementary School Enrollment (Grades 1-2)</x:v>
      </x:c>
    </x:row>
    <x:row r="74" ht="20" customHeight="1">
      <x:c r="A74" s="130"/>
      <x:c r="B74" s="146" t="str">
        <x:v>Grade 2</x:v>
      </x:c>
      <x:c r="C74" s="147" t="n">
        <x:v>1</x:v>
      </x:c>
      <x:c r="D74" s="144" t="n">
        <x:v>161</x:v>
      </x:c>
      <x:c r="E74" s="132" t="str">
        <x:v>Upper Elementary School Enrollment (Grades 3-6)</x:v>
      </x:c>
    </x:row>
    <x:row r="75" ht="20" customHeight="1">
      <x:c r="A75" s="130"/>
      <x:c r="B75" s="146" t="str">
        <x:v>Grade 3</x:v>
      </x:c>
      <x:c r="C75" s="147" t="n">
        <x:v>1</x:v>
      </x:c>
      <x:c r="D75" s="144"/>
      <x:c r="E75" s="132" t="str"/>
    </x:row>
    <x:row r="76" ht="20" customHeight="1">
      <x:c r="A76" s="130"/>
      <x:c r="B76" s="146" t="str">
        <x:v>Grade 4</x:v>
      </x:c>
      <x:c r="C76" s="147" t="n">
        <x:v>1</x:v>
      </x:c>
      <x:c r="D76" s="144"/>
      <x:c r="E76" s="132" t="str"/>
    </x:row>
    <x:row r="77" ht="20" customHeight="1">
      <x:c r="A77" s="130"/>
      <x:c r="B77" s="146" t="str">
        <x:v>Grade 5</x:v>
      </x:c>
      <x:c r="C77" s="147" t="n">
        <x:v>1</x:v>
      </x:c>
      <x:c r="D77" s="144"/>
      <x:c r="E77" s="132" t="str"/>
    </x:row>
    <x:row r="78" ht="20" customHeight="1">
      <x:c r="A78" s="130"/>
      <x:c r="B78" s="146" t="str">
        <x:v>Grade 6</x:v>
      </x:c>
      <x:c r="C78" s="147" t="n">
        <x:v>0</x:v>
      </x:c>
      <x:c r="D78" s="144"/>
      <x:c r="E78" s="132" t="str"/>
    </x:row>
    <x:row r="79" ht="20" customHeight="1">
      <x:c r="A79" s="130"/>
      <x:c r="B79" s="144"/>
      <x:c r="C79" s="144"/>
      <x:c r="D79" s="144"/>
      <x:c r="E79" s="132"/>
    </x:row>
    <x:row r="80" ht="20" customHeight="1">
      <x:c r="A80" s="188" t="str">
        <x:v>Total Building Gross Floor Area (GFA)²</x:v>
      </x:c>
      <x:c r="B80" s="189"/>
      <x:c r="C80" s="189"/>
      <x:c r="D80" s="190" t="n">
        <x:f>D69*D82</x:f>
        <x:v>66405</x:v>
      </x:c>
      <x:c r="E80" s="191" t="str">
        <x:v>Total Building Gross Floor Area (GFA)²</x:v>
      </x:c>
    </x:row>
    <x:row r="81" ht="20" customHeight="1">
      <x:c r="A81" s="130"/>
      <x:c r="B81" s="136"/>
      <x:c r="C81" s="136"/>
      <x:c r="D81" s="136"/>
      <x:c r="E81" s="132"/>
    </x:row>
    <x:row r="82" ht="20" customHeight="1">
      <x:c r="A82" s="188" t="str">
        <x:v>Grossing Factor (GFA / NFA)</x:v>
      </x:c>
      <x:c r="B82" s="202"/>
      <x:c r="C82" s="202"/>
      <x:c r="D82" s="203" t="n">
        <x:v>1.5</x:v>
      </x:c>
      <x:c r="E82" s="191" t="str">
        <x:v>Grossing Factor (GFA / NFA)</x:v>
      </x:c>
    </x:row>
  </x:sheetData>
  <x:mergeCells>
    <x:mergeCell ref="A1:E1"/>
    <x:mergeCell ref="A3:A4"/>
    <x:mergeCell ref="B2:E2"/>
    <x:mergeCell ref="B3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51" t="str">
        <x:v>Massing test adjustment</x:v>
      </x:c>
      <x:c r="B1" t="str">
        <x:v>GSF distribution variation</x:v>
      </x:c>
    </x:row>
    <x:row r="2">
      <x:c r="A2" t="str">
        <x:v>Original GFA</x:v>
      </x:c>
      <x:c r="B2" t="n">
        <x:v>60693</x:v>
      </x:c>
    </x:row>
    <x:row r="3">
      <x:c r="A3" t="str">
        <x:v>Adjusted target logic</x:v>
      </x:c>
      <x:c r="B3" t="str">
        <x:v>Redistributed program NFA; grossing factor retained at 1.50</x:v>
      </x:c>
    </x:row>
    <x:row r="4">
      <x:c r="A4" t="str">
        <x:v>Allowed total GFA band</x:v>
      </x:c>
      <x:c r="B4" t="str">
        <x:v>±30% of original</x:v>
      </x:c>
    </x:row>
  </x:sheetData>
  <x:pageMargins left="0.7" right="0.7" top="0.75" bottom="0.75" header="0.3" footer="0.3"/>
</x:worksheet>
</file>